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1F197649-E3FF-4389-922A-29FA7C8DC2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inary to ASCII" sheetId="5" r:id="rId1"/>
    <sheet name="Binary to Decimal" sheetId="3" r:id="rId2"/>
    <sheet name="Decimal to Tex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F2" i="5"/>
  <c r="B1" i="5"/>
  <c r="M2" i="5" s="1"/>
  <c r="D2" i="5" s="1"/>
  <c r="H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A2" i="4"/>
  <c r="A3" i="4"/>
  <c r="A4" i="4"/>
  <c r="A5" i="4"/>
  <c r="A6" i="4"/>
  <c r="A7" i="4"/>
  <c r="A8" i="4"/>
  <c r="A9" i="4"/>
  <c r="A10" i="4"/>
  <c r="A11" i="4"/>
  <c r="A12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B1" i="3"/>
  <c r="M2" i="3"/>
  <c r="F2" i="3"/>
  <c r="G2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D2" i="3"/>
  <c r="E2" i="3" s="1"/>
  <c r="D3" i="5" l="1"/>
  <c r="E2" i="5"/>
  <c r="F3" i="5"/>
  <c r="G2" i="5"/>
  <c r="A50" i="4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D3" i="3"/>
  <c r="E3" i="3" s="1"/>
  <c r="H2" i="3"/>
  <c r="F4" i="5" l="1"/>
  <c r="G3" i="5"/>
  <c r="H2" i="5"/>
  <c r="D4" i="5"/>
  <c r="E3" i="5"/>
  <c r="H3" i="5" s="1"/>
  <c r="D4" i="3"/>
  <c r="E4" i="3" s="1"/>
  <c r="H3" i="3"/>
  <c r="D5" i="5" l="1"/>
  <c r="E4" i="5"/>
  <c r="F5" i="5"/>
  <c r="G4" i="5"/>
  <c r="D5" i="3"/>
  <c r="E5" i="3" s="1"/>
  <c r="H4" i="3"/>
  <c r="F6" i="5" l="1"/>
  <c r="G5" i="5"/>
  <c r="H4" i="5"/>
  <c r="D6" i="5"/>
  <c r="E5" i="5"/>
  <c r="H5" i="5" s="1"/>
  <c r="D6" i="3"/>
  <c r="E6" i="3" s="1"/>
  <c r="H5" i="3"/>
  <c r="D7" i="5" l="1"/>
  <c r="E6" i="5"/>
  <c r="F7" i="5"/>
  <c r="G6" i="5"/>
  <c r="D7" i="3"/>
  <c r="E7" i="3" s="1"/>
  <c r="H6" i="3"/>
  <c r="F8" i="5" l="1"/>
  <c r="G7" i="5"/>
  <c r="H6" i="5"/>
  <c r="D8" i="5"/>
  <c r="E7" i="5"/>
  <c r="H7" i="5" s="1"/>
  <c r="D8" i="3"/>
  <c r="E8" i="3" s="1"/>
  <c r="H7" i="3"/>
  <c r="D9" i="5" l="1"/>
  <c r="E9" i="5" s="1"/>
  <c r="E8" i="5"/>
  <c r="F9" i="5"/>
  <c r="G9" i="5" s="1"/>
  <c r="G8" i="5"/>
  <c r="D9" i="3"/>
  <c r="H8" i="3"/>
  <c r="H8" i="5" l="1"/>
  <c r="H9" i="5"/>
  <c r="E9" i="3"/>
  <c r="H9" i="3" s="1"/>
  <c r="J2" i="3" s="1"/>
  <c r="J2" i="5" l="1"/>
</calcChain>
</file>

<file path=xl/sharedStrings.xml><?xml version="1.0" encoding="utf-8"?>
<sst xmlns="http://schemas.openxmlformats.org/spreadsheetml/2006/main" count="115" uniqueCount="106">
  <si>
    <t>Input</t>
  </si>
  <si>
    <t>Location</t>
  </si>
  <si>
    <t>Component</t>
  </si>
  <si>
    <t>Place</t>
  </si>
  <si>
    <t>Exponent</t>
  </si>
  <si>
    <t>Conversion</t>
  </si>
  <si>
    <t>Result: Decimal</t>
  </si>
  <si>
    <t>Result: Text</t>
  </si>
  <si>
    <t>Offset</t>
  </si>
  <si>
    <t>Result</t>
  </si>
  <si>
    <t>Decimal</t>
  </si>
  <si>
    <t>Text</t>
  </si>
  <si>
    <t>Word (if applicable)</t>
  </si>
  <si>
    <t>result</t>
  </si>
  <si>
    <t xml:space="preserve"> </t>
  </si>
  <si>
    <t>space</t>
  </si>
  <si>
    <t>!</t>
  </si>
  <si>
    <t>"</t>
  </si>
  <si>
    <t>#</t>
  </si>
  <si>
    <t>$</t>
  </si>
  <si>
    <t>%</t>
  </si>
  <si>
    <t>&amp;</t>
  </si>
  <si>
    <t>`</t>
  </si>
  <si>
    <t>single quote</t>
  </si>
  <si>
    <t>(</t>
  </si>
  <si>
    <t>)</t>
  </si>
  <si>
    <t>*</t>
  </si>
  <si>
    <t>+</t>
  </si>
  <si>
    <t>,</t>
  </si>
  <si>
    <t>comma</t>
  </si>
  <si>
    <t>-</t>
  </si>
  <si>
    <t>minus</t>
  </si>
  <si>
    <t>.</t>
  </si>
  <si>
    <t>period</t>
  </si>
  <si>
    <t>/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</si>
  <si>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</si>
  <si>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</si>
  <si>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</si>
  <si>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</si>
  <si>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</si>
  <si>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</si>
  <si>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</si>
  <si>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</si>
  <si>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</si>
  <si>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</si>
  <si>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</si>
  <si>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</si>
  <si>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</si>
  <si>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</si>
  <si>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</si>
  <si>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</si>
  <si>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</si>
  <si>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</si>
  <si>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</si>
  <si>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</si>
  <si>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</si>
  <si>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</si>
  <si>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</si>
  <si>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</si>
  <si>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</si>
  <si>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</si>
  <si>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</si>
  <si>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</si>
  <si>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</si>
  <si>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</si>
  <si>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</si>
  <si>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</si>
  <si>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</si>
  <si>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</si>
  <si>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</si>
  <si>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</si>
  <si>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</si>
  <si>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</si>
  <si>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underscore</t>
  </si>
  <si>
    <t>grave accent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</si>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</sst>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F0F0F"/>
      <name val="Poppins"/>
      <family val="2"/>
      <charset val="1"/>
    </font>
    <font>
      <sz val="11"/>
      <color rgb="FF0F0F0F"/>
      <name val="Aptos Display"/>
      <scheme val="maj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0F0F"/>
        <name val="Aptos Display"/>
        <scheme val="maj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0F0F"/>
        <name val="Aptos Display"/>
        <scheme val="major"/>
      </font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6B5AD1-8424-4684-B87B-DA0B42358858}" name="Table135" displayName="Table135" ref="D1:H9" totalsRowShown="0">
  <autoFilter ref="D1:H9" xr:uid="{FA36BFCF-B6F5-4736-8BFE-94E7705E08F2}"/>
  <tableColumns count="5">
    <tableColumn id="1" xr3:uid="{3B423177-9ABB-45FF-9ED8-2F3D58E7CA30}" name="Location" dataDxfId="11">
      <calculatedColumnFormula>IF(ISNUMBER(D1),D1+1,1-$M$2)</calculatedColumnFormula>
    </tableColumn>
    <tableColumn id="2" xr3:uid="{DD759742-743E-4000-9248-0BDB39BABD40}" name="Component" dataDxfId="10">
      <calculatedColumnFormula>VALUE(IF(D2&lt;1,0,RIGHT(LEFT(SUBSTITUTE(B$1," ",""),D2),1)))</calculatedColumnFormula>
    </tableColumn>
    <tableColumn id="3" xr3:uid="{6B5B78E7-E29B-484C-B4F2-BC2B3D47DFD4}" name="Place" dataDxfId="9">
      <calculatedColumnFormula>IF(ISNUMBER(F1),F1-1,7)</calculatedColumnFormula>
    </tableColumn>
    <tableColumn id="4" xr3:uid="{821007BD-7D2C-4E62-B9FA-44EBD57773FF}" name="Exponent" dataDxfId="8">
      <calculatedColumnFormula>2^F2</calculatedColumnFormula>
    </tableColumn>
    <tableColumn id="5" xr3:uid="{58506BEB-2F6A-4674-97AA-890642B29D9A}" name="Conversion" dataDxfId="7">
      <calculatedColumnFormula>E2*G2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B75AB-326D-4609-915B-03BB482F0F06}" name="Table13" displayName="Table13" ref="D1:H9" totalsRowShown="0">
  <autoFilter ref="D1:H9" xr:uid="{FA36BFCF-B6F5-4736-8BFE-94E7705E08F2}"/>
  <tableColumns count="5">
    <tableColumn id="1" xr3:uid="{47E4CA81-FC22-4DE5-A326-1CF3D709A31A}" name="Location" dataDxfId="6">
      <calculatedColumnFormula>IF(ISNUMBER(D1),D1+1,1-$M$2)</calculatedColumnFormula>
    </tableColumn>
    <tableColumn id="2" xr3:uid="{F0E72E38-1E41-4E32-9854-D0EEE3DC2B9A}" name="Component" dataDxfId="5">
      <calculatedColumnFormula>VALUE(IF(D2&lt;1,0,RIGHT(LEFT(SUBSTITUTE(B$1," ",""),D2),1)))</calculatedColumnFormula>
    </tableColumn>
    <tableColumn id="3" xr3:uid="{586970F2-7623-47DD-BA3B-49E16E16D2D2}" name="Place" dataDxfId="4">
      <calculatedColumnFormula>IF(ISNUMBER(F1),F1-1,7)</calculatedColumnFormula>
    </tableColumn>
    <tableColumn id="4" xr3:uid="{26C87C61-A53A-43FC-908B-763B36DB45A3}" name="Exponent" dataDxfId="3">
      <calculatedColumnFormula>2^F2</calculatedColumnFormula>
    </tableColumn>
    <tableColumn id="5" xr3:uid="{11A0A9C1-10F7-4C49-AC70-344772AD1F83}" name="Conversion" dataDxfId="2">
      <calculatedColumnFormula>E2*G2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7241C-FD7F-4289-987A-08ECCC6C01D9}" name="Table3" displayName="Table3" ref="A1:D97" totalsRowShown="0">
  <autoFilter ref="A1:D97" xr:uid="{6117241C-FD7F-4289-987A-08ECCC6C01D9}"/>
  <tableColumns count="4">
    <tableColumn id="1" xr3:uid="{9AC0F404-83A3-4879-BF25-822D0DFA81F8}" name="Decimal" dataDxfId="1">
      <calculatedColumnFormula>IF(ISNUMBER(A1),A1+1,32)</calculatedColumnFormula>
    </tableColumn>
    <tableColumn id="2" xr3:uid="{0B6A81F1-D952-41EE-B83D-B601747DAA74}" name="Text"/>
    <tableColumn id="3" xr3:uid="{3AF6DB73-2D0F-44A6-8970-6B438D162048}" name="Word (if applicable)"/>
    <tableColumn id="4" xr3:uid="{1F290801-C8D8-4243-AF7A-FD1717035932}" name="result" dataDxfId="0">
      <calculatedColumnFormula>IF(ISBLANK(C2),B2,C2)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2094-A146-4986-ACC0-91EE80F6ED3A}">
  <dimension ref="A1:M22"/>
  <sheetViews>
    <sheetView tabSelected="1" workbookViewId="0">
      <selection activeCell="K3" sqref="K3"/>
    </sheetView>
  </sheetViews>
  <sheetFormatPr defaultRowHeight="15"/>
  <cols>
    <col min="1" max="1" width="10.28515625" bestFit="1" customWidth="1"/>
    <col min="4" max="4" width="19.7109375" customWidth="1"/>
    <col min="5" max="5" width="13.85546875" bestFit="1" customWidth="1"/>
    <col min="6" max="6" width="13.5703125" customWidth="1"/>
  </cols>
  <sheetData>
    <row r="1" spans="1:13">
      <c r="A1" t="s">
        <v>0</v>
      </c>
      <c r="B1">
        <f>VALUE(LEFT(A2,8))</f>
        <v>101110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M1" t="s">
        <v>8</v>
      </c>
    </row>
    <row r="2" spans="1:13" ht="19.5">
      <c r="A2" s="1">
        <v>101110</v>
      </c>
      <c r="D2">
        <f>IF(ISNUMBER(D1),D1+1,1-$M$2)</f>
        <v>-1</v>
      </c>
      <c r="E2" s="2">
        <f t="shared" ref="E2:E9" si="0">VALUE(IF(D2&lt;1,0,RIGHT(LEFT(SUBSTITUTE(B$1," ",""),D2),1)))</f>
        <v>0</v>
      </c>
      <c r="F2">
        <f t="shared" ref="F2:F9" si="1">IF(ISNUMBER(F1),F1-1,7)</f>
        <v>7</v>
      </c>
      <c r="G2">
        <f t="shared" ref="G2:G9" si="2">2^F2</f>
        <v>128</v>
      </c>
      <c r="H2">
        <f t="shared" ref="H2:H9" si="3">E2*G2</f>
        <v>0</v>
      </c>
      <c r="J2">
        <f>SUM(Table135[Conversion])</f>
        <v>46</v>
      </c>
      <c r="K2" t="str">
        <f>LOOKUP(J2,Table3[Decimal],Table3[result])</f>
        <v>period</v>
      </c>
      <c r="M2">
        <f>8-LEN(B1)</f>
        <v>2</v>
      </c>
    </row>
    <row r="3" spans="1:13">
      <c r="D3">
        <f>IF(ISNUMBER(D2),D2+1,1-$M$2)</f>
        <v>0</v>
      </c>
      <c r="E3" s="2">
        <f t="shared" si="0"/>
        <v>0</v>
      </c>
      <c r="F3">
        <f t="shared" si="1"/>
        <v>6</v>
      </c>
      <c r="G3">
        <f t="shared" si="2"/>
        <v>64</v>
      </c>
      <c r="H3">
        <f t="shared" si="3"/>
        <v>0</v>
      </c>
    </row>
    <row r="4" spans="1:13">
      <c r="D4">
        <f>IF(ISNUMBER(D3),D3+1,1-$M$2)</f>
        <v>1</v>
      </c>
      <c r="E4" s="2">
        <f t="shared" si="0"/>
        <v>1</v>
      </c>
      <c r="F4">
        <f t="shared" si="1"/>
        <v>5</v>
      </c>
      <c r="G4">
        <f t="shared" si="2"/>
        <v>32</v>
      </c>
      <c r="H4">
        <f t="shared" si="3"/>
        <v>32</v>
      </c>
    </row>
    <row r="5" spans="1:13">
      <c r="D5">
        <f>IF(ISNUMBER(D4),D4+1,1-$M$2)</f>
        <v>2</v>
      </c>
      <c r="E5" s="2">
        <f t="shared" si="0"/>
        <v>0</v>
      </c>
      <c r="F5">
        <f t="shared" si="1"/>
        <v>4</v>
      </c>
      <c r="G5">
        <f t="shared" si="2"/>
        <v>16</v>
      </c>
      <c r="H5">
        <f t="shared" si="3"/>
        <v>0</v>
      </c>
    </row>
    <row r="6" spans="1:13" ht="19.5">
      <c r="A6" s="1"/>
      <c r="D6">
        <f>IF(ISNUMBER(D5),D5+1,1-$M$2)</f>
        <v>3</v>
      </c>
      <c r="E6" s="2">
        <f t="shared" si="0"/>
        <v>1</v>
      </c>
      <c r="F6">
        <f t="shared" si="1"/>
        <v>3</v>
      </c>
      <c r="G6">
        <f t="shared" si="2"/>
        <v>8</v>
      </c>
      <c r="H6">
        <f t="shared" si="3"/>
        <v>8</v>
      </c>
    </row>
    <row r="7" spans="1:13">
      <c r="D7">
        <f>IF(ISNUMBER(D6),D6+1,1-$M$2)</f>
        <v>4</v>
      </c>
      <c r="E7" s="2">
        <f t="shared" si="0"/>
        <v>1</v>
      </c>
      <c r="F7">
        <f t="shared" si="1"/>
        <v>2</v>
      </c>
      <c r="G7">
        <f t="shared" si="2"/>
        <v>4</v>
      </c>
      <c r="H7">
        <f t="shared" si="3"/>
        <v>4</v>
      </c>
    </row>
    <row r="8" spans="1:13">
      <c r="D8">
        <f>IF(ISNUMBER(D7),D7+1,1-$M$2)</f>
        <v>5</v>
      </c>
      <c r="E8" s="2">
        <f t="shared" si="0"/>
        <v>1</v>
      </c>
      <c r="F8">
        <f t="shared" si="1"/>
        <v>1</v>
      </c>
      <c r="G8">
        <f t="shared" si="2"/>
        <v>2</v>
      </c>
      <c r="H8">
        <f t="shared" si="3"/>
        <v>2</v>
      </c>
    </row>
    <row r="9" spans="1:13">
      <c r="D9">
        <f>IF(ISNUMBER(D8),D8+1,1-$M$2)</f>
        <v>6</v>
      </c>
      <c r="E9" s="2">
        <f t="shared" si="0"/>
        <v>0</v>
      </c>
      <c r="F9">
        <f t="shared" si="1"/>
        <v>0</v>
      </c>
      <c r="G9">
        <f t="shared" si="2"/>
        <v>1</v>
      </c>
      <c r="H9">
        <f t="shared" si="3"/>
        <v>0</v>
      </c>
    </row>
    <row r="10" spans="1:13">
      <c r="A10" s="3"/>
    </row>
    <row r="22" spans="1:1" ht="19.5">
      <c r="A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2C50-1BCF-4AB4-AA65-D86FE9C6BD1B}">
  <dimension ref="A1:M22"/>
  <sheetViews>
    <sheetView workbookViewId="0">
      <selection activeCell="B1" sqref="B1"/>
    </sheetView>
  </sheetViews>
  <sheetFormatPr defaultRowHeight="15"/>
  <cols>
    <col min="1" max="1" width="10.28515625" bestFit="1" customWidth="1"/>
    <col min="4" max="4" width="19.7109375" customWidth="1"/>
    <col min="5" max="5" width="13.85546875" bestFit="1" customWidth="1"/>
    <col min="6" max="6" width="13.5703125" customWidth="1"/>
  </cols>
  <sheetData>
    <row r="1" spans="1:13">
      <c r="A1" t="s">
        <v>0</v>
      </c>
      <c r="B1">
        <f>VALUE(LEFT(A2,8))</f>
        <v>101110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9</v>
      </c>
      <c r="M1" t="s">
        <v>8</v>
      </c>
    </row>
    <row r="2" spans="1:13" ht="19.5">
      <c r="A2" s="1">
        <v>101110</v>
      </c>
      <c r="D2">
        <f>IF(ISNUMBER(D1),D1+1,1-$M$2)</f>
        <v>-1</v>
      </c>
      <c r="E2" s="2">
        <f t="shared" ref="E2:E9" si="0">VALUE(IF(D2&lt;1,0,RIGHT(LEFT(SUBSTITUTE(B$1," ",""),D2),1)))</f>
        <v>0</v>
      </c>
      <c r="F2">
        <f t="shared" ref="F2:F9" si="1">IF(ISNUMBER(F1),F1-1,7)</f>
        <v>7</v>
      </c>
      <c r="G2">
        <f t="shared" ref="G2:G9" si="2">2^F2</f>
        <v>128</v>
      </c>
      <c r="H2">
        <f t="shared" ref="H2:H9" si="3">E2*G2</f>
        <v>0</v>
      </c>
      <c r="J2">
        <f>SUM(Table13[Conversion])</f>
        <v>46</v>
      </c>
      <c r="M2">
        <f>8-LEN(B1)</f>
        <v>2</v>
      </c>
    </row>
    <row r="3" spans="1:13">
      <c r="D3">
        <f>IF(ISNUMBER(D2),D2+1,1-$M$2)</f>
        <v>0</v>
      </c>
      <c r="E3" s="2">
        <f t="shared" si="0"/>
        <v>0</v>
      </c>
      <c r="F3">
        <f t="shared" si="1"/>
        <v>6</v>
      </c>
      <c r="G3">
        <f t="shared" si="2"/>
        <v>64</v>
      </c>
      <c r="H3">
        <f t="shared" si="3"/>
        <v>0</v>
      </c>
    </row>
    <row r="4" spans="1:13">
      <c r="D4">
        <f>IF(ISNUMBER(D3),D3+1,1-$M$2)</f>
        <v>1</v>
      </c>
      <c r="E4" s="2">
        <f t="shared" si="0"/>
        <v>1</v>
      </c>
      <c r="F4">
        <f t="shared" si="1"/>
        <v>5</v>
      </c>
      <c r="G4">
        <f t="shared" si="2"/>
        <v>32</v>
      </c>
      <c r="H4">
        <f t="shared" si="3"/>
        <v>32</v>
      </c>
    </row>
    <row r="5" spans="1:13">
      <c r="D5">
        <f>IF(ISNUMBER(D4),D4+1,1-$M$2)</f>
        <v>2</v>
      </c>
      <c r="E5" s="2">
        <f t="shared" si="0"/>
        <v>0</v>
      </c>
      <c r="F5">
        <f t="shared" si="1"/>
        <v>4</v>
      </c>
      <c r="G5">
        <f t="shared" si="2"/>
        <v>16</v>
      </c>
      <c r="H5">
        <f t="shared" si="3"/>
        <v>0</v>
      </c>
    </row>
    <row r="6" spans="1:13" ht="19.5">
      <c r="A6" s="1"/>
      <c r="D6">
        <f>IF(ISNUMBER(D5),D5+1,1-$M$2)</f>
        <v>3</v>
      </c>
      <c r="E6" s="2">
        <f t="shared" si="0"/>
        <v>1</v>
      </c>
      <c r="F6">
        <f t="shared" si="1"/>
        <v>3</v>
      </c>
      <c r="G6">
        <f t="shared" si="2"/>
        <v>8</v>
      </c>
      <c r="H6">
        <f t="shared" si="3"/>
        <v>8</v>
      </c>
    </row>
    <row r="7" spans="1:13">
      <c r="D7">
        <f>IF(ISNUMBER(D6),D6+1,1-$M$2)</f>
        <v>4</v>
      </c>
      <c r="E7" s="2">
        <f t="shared" si="0"/>
        <v>1</v>
      </c>
      <c r="F7">
        <f t="shared" si="1"/>
        <v>2</v>
      </c>
      <c r="G7">
        <f t="shared" si="2"/>
        <v>4</v>
      </c>
      <c r="H7">
        <f t="shared" si="3"/>
        <v>4</v>
      </c>
    </row>
    <row r="8" spans="1:13">
      <c r="D8">
        <f>IF(ISNUMBER(D7),D7+1,1-$M$2)</f>
        <v>5</v>
      </c>
      <c r="E8" s="2">
        <f t="shared" si="0"/>
        <v>1</v>
      </c>
      <c r="F8">
        <f t="shared" si="1"/>
        <v>1</v>
      </c>
      <c r="G8">
        <f t="shared" si="2"/>
        <v>2</v>
      </c>
      <c r="H8">
        <f t="shared" si="3"/>
        <v>2</v>
      </c>
    </row>
    <row r="9" spans="1:13">
      <c r="D9">
        <f>IF(ISNUMBER(D8),D8+1,1-$M$2)</f>
        <v>6</v>
      </c>
      <c r="E9" s="2">
        <f t="shared" si="0"/>
        <v>0</v>
      </c>
      <c r="F9">
        <f t="shared" si="1"/>
        <v>0</v>
      </c>
      <c r="G9">
        <f t="shared" si="2"/>
        <v>1</v>
      </c>
      <c r="H9">
        <f t="shared" si="3"/>
        <v>0</v>
      </c>
    </row>
    <row r="10" spans="1:13">
      <c r="A10" s="3"/>
    </row>
    <row r="22" spans="1:1" ht="19.5">
      <c r="A2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A0FA-9431-4A80-8C7A-AC29FA9532F1}">
  <dimension ref="A1:H97"/>
  <sheetViews>
    <sheetView workbookViewId="0">
      <selection activeCell="F2" sqref="F2"/>
    </sheetView>
  </sheetViews>
  <sheetFormatPr defaultRowHeight="15"/>
  <cols>
    <col min="1" max="1" width="10.85546875" bestFit="1" customWidth="1"/>
    <col min="3" max="3" width="21.140625" bestFit="1" customWidth="1"/>
  </cols>
  <sheetData>
    <row r="1" spans="1:8">
      <c r="A1" t="s">
        <v>10</v>
      </c>
      <c r="B1" t="s">
        <v>11</v>
      </c>
      <c r="C1" t="s">
        <v>12</v>
      </c>
      <c r="D1" t="s">
        <v>13</v>
      </c>
      <c r="F1" t="s">
        <v>0</v>
      </c>
      <c r="H1" t="str">
        <f>LOOKUP(F2,Table3[Decimal],Table3[result])</f>
        <v>space</v>
      </c>
    </row>
    <row r="2" spans="1:8">
      <c r="A2">
        <f t="shared" ref="A2:A13" si="0">IF(ISNUMBER(A1),A1+1,32)</f>
        <v>32</v>
      </c>
      <c r="B2" t="s">
        <v>14</v>
      </c>
      <c r="C2" t="s">
        <v>15</v>
      </c>
      <c r="D2" t="str">
        <f t="shared" ref="D2:D33" si="1">IF(ISBLANK(C2),B2,C2)</f>
        <v>space</v>
      </c>
      <c r="F2">
        <v>32</v>
      </c>
    </row>
    <row r="3" spans="1:8">
      <c r="A3">
        <f t="shared" si="0"/>
        <v>33</v>
      </c>
      <c r="B3" t="s">
        <v>16</v>
      </c>
      <c r="D3" t="str">
        <f t="shared" si="1"/>
        <v>!</v>
      </c>
    </row>
    <row r="4" spans="1:8">
      <c r="A4">
        <f t="shared" si="0"/>
        <v>34</v>
      </c>
      <c r="B4" t="s">
        <v>17</v>
      </c>
      <c r="D4" t="str">
        <f t="shared" si="1"/>
        <v>"</v>
      </c>
    </row>
    <row r="5" spans="1:8">
      <c r="A5">
        <f t="shared" si="0"/>
        <v>35</v>
      </c>
      <c r="B5" t="s">
        <v>18</v>
      </c>
      <c r="D5" t="str">
        <f t="shared" si="1"/>
        <v>#</v>
      </c>
    </row>
    <row r="6" spans="1:8">
      <c r="A6">
        <f t="shared" si="0"/>
        <v>36</v>
      </c>
      <c r="B6" t="s">
        <v>19</v>
      </c>
      <c r="D6" t="str">
        <f t="shared" si="1"/>
        <v>$</v>
      </c>
    </row>
    <row r="7" spans="1:8">
      <c r="A7">
        <f t="shared" si="0"/>
        <v>37</v>
      </c>
      <c r="B7" t="s">
        <v>20</v>
      </c>
      <c r="D7" t="str">
        <f t="shared" si="1"/>
        <v>%</v>
      </c>
    </row>
    <row r="8" spans="1:8">
      <c r="A8">
        <f t="shared" si="0"/>
        <v>38</v>
      </c>
      <c r="B8" t="s">
        <v>21</v>
      </c>
      <c r="D8" t="str">
        <f t="shared" si="1"/>
        <v>&amp;</v>
      </c>
    </row>
    <row r="9" spans="1:8">
      <c r="A9">
        <f t="shared" si="0"/>
        <v>39</v>
      </c>
      <c r="B9" t="s">
        <v>22</v>
      </c>
      <c r="C9" t="s">
        <v>23</v>
      </c>
      <c r="D9" t="str">
        <f t="shared" si="1"/>
        <v>single quote</v>
      </c>
    </row>
    <row r="10" spans="1:8">
      <c r="A10">
        <f t="shared" si="0"/>
        <v>40</v>
      </c>
      <c r="B10" t="s">
        <v>24</v>
      </c>
      <c r="D10" t="str">
        <f t="shared" si="1"/>
        <v>(</v>
      </c>
    </row>
    <row r="11" spans="1:8">
      <c r="A11">
        <f t="shared" si="0"/>
        <v>41</v>
      </c>
      <c r="B11" t="s">
        <v>25</v>
      </c>
      <c r="D11" t="str">
        <f t="shared" si="1"/>
        <v>)</v>
      </c>
    </row>
    <row r="12" spans="1:8">
      <c r="A12">
        <f t="shared" si="0"/>
        <v>42</v>
      </c>
      <c r="B12" t="s">
        <v>26</v>
      </c>
      <c r="D12" t="str">
        <f t="shared" si="1"/>
        <v>*</v>
      </c>
    </row>
    <row r="13" spans="1:8">
      <c r="A13">
        <f t="shared" si="0"/>
        <v>43</v>
      </c>
      <c r="B13" t="s">
        <v>27</v>
      </c>
      <c r="D13" t="str">
        <f t="shared" si="1"/>
        <v>+</v>
      </c>
    </row>
    <row r="14" spans="1:8">
      <c r="A14" s="4">
        <f t="shared" ref="A14:A20" si="2">IF(ISNUMBER(A13),A13+1,32)</f>
        <v>44</v>
      </c>
      <c r="B14" s="5" t="s">
        <v>28</v>
      </c>
      <c r="C14" t="s">
        <v>29</v>
      </c>
      <c r="D14" t="str">
        <f t="shared" si="1"/>
        <v>comma</v>
      </c>
    </row>
    <row r="15" spans="1:8">
      <c r="A15" s="4">
        <f t="shared" si="2"/>
        <v>45</v>
      </c>
      <c r="B15" t="s">
        <v>30</v>
      </c>
      <c r="C15" t="s">
        <v>31</v>
      </c>
      <c r="D15" t="str">
        <f t="shared" si="1"/>
        <v>minus</v>
      </c>
    </row>
    <row r="16" spans="1:8">
      <c r="A16" s="4">
        <f t="shared" si="2"/>
        <v>46</v>
      </c>
      <c r="B16" t="s">
        <v>32</v>
      </c>
      <c r="C16" t="s">
        <v>33</v>
      </c>
      <c r="D16" t="str">
        <f t="shared" si="1"/>
        <v>period</v>
      </c>
    </row>
    <row r="17" spans="1:4">
      <c r="A17" s="4">
        <f t="shared" si="2"/>
        <v>47</v>
      </c>
      <c r="B17" t="s">
        <v>34</v>
      </c>
      <c r="D17" t="str">
        <f t="shared" si="1"/>
        <v>/</v>
      </c>
    </row>
    <row r="18" spans="1:4">
      <c r="A18" s="4">
        <f t="shared" si="2"/>
        <v>48</v>
      </c>
      <c r="B18">
        <v>0</v>
      </c>
      <c r="D18">
        <f t="shared" si="1"/>
        <v>0</v>
      </c>
    </row>
    <row r="19" spans="1:4">
      <c r="A19" s="4">
        <f t="shared" si="2"/>
        <v>49</v>
      </c>
      <c r="B19">
        <v>1</v>
      </c>
      <c r="D19">
        <f t="shared" si="1"/>
        <v>1</v>
      </c>
    </row>
    <row r="20" spans="1:4">
      <c r="A20" s="4">
        <f t="shared" si="2"/>
        <v>50</v>
      </c>
      <c r="B20">
        <v>2</v>
      </c>
      <c r="D20">
        <f t="shared" si="1"/>
        <v>2</v>
      </c>
    </row>
    <row r="21" spans="1:4">
      <c r="A21" s="4">
        <f t="shared" ref="A21:A52" si="3">IF(ISNUMBER(A20),A20+1,32)</f>
        <v>51</v>
      </c>
      <c r="B21">
        <v>3</v>
      </c>
      <c r="D21">
        <f t="shared" si="1"/>
        <v>3</v>
      </c>
    </row>
    <row r="22" spans="1:4">
      <c r="A22" s="4">
        <f t="shared" si="3"/>
        <v>52</v>
      </c>
      <c r="B22">
        <v>4</v>
      </c>
      <c r="D22">
        <f t="shared" si="1"/>
        <v>4</v>
      </c>
    </row>
    <row r="23" spans="1:4">
      <c r="A23" s="4">
        <f t="shared" si="3"/>
        <v>53</v>
      </c>
      <c r="B23">
        <v>5</v>
      </c>
      <c r="D23">
        <f t="shared" si="1"/>
        <v>5</v>
      </c>
    </row>
    <row r="24" spans="1:4">
      <c r="A24" s="4">
        <f t="shared" si="3"/>
        <v>54</v>
      </c>
      <c r="B24">
        <v>6</v>
      </c>
      <c r="D24">
        <f t="shared" si="1"/>
        <v>6</v>
      </c>
    </row>
    <row r="25" spans="1:4">
      <c r="A25" s="4">
        <f t="shared" si="3"/>
        <v>55</v>
      </c>
      <c r="B25">
        <v>7</v>
      </c>
      <c r="D25">
        <f t="shared" si="1"/>
        <v>7</v>
      </c>
    </row>
    <row r="26" spans="1:4">
      <c r="A26" s="4">
        <f t="shared" si="3"/>
        <v>56</v>
      </c>
      <c r="B26">
        <v>8</v>
      </c>
      <c r="D26">
        <f t="shared" si="1"/>
        <v>8</v>
      </c>
    </row>
    <row r="27" spans="1:4">
      <c r="A27" s="4">
        <f t="shared" si="3"/>
        <v>57</v>
      </c>
      <c r="B27">
        <v>9</v>
      </c>
      <c r="D27">
        <f t="shared" si="1"/>
        <v>9</v>
      </c>
    </row>
    <row r="28" spans="1:4">
      <c r="A28" s="4">
        <f t="shared" si="3"/>
        <v>58</v>
      </c>
      <c r="B28" t="s">
        <v>35</v>
      </c>
      <c r="D28" t="str">
        <f t="shared" si="1"/>
        <v>:</v>
      </c>
    </row>
    <row r="29" spans="1:4">
      <c r="A29" s="4">
        <f t="shared" si="3"/>
        <v>59</v>
      </c>
      <c r="B29" t="s">
        <v>36</v>
      </c>
      <c r="D29" t="str">
        <f t="shared" si="1"/>
        <v>;</v>
      </c>
    </row>
    <row r="30" spans="1:4">
      <c r="A30" s="4">
        <f t="shared" si="3"/>
        <v>60</v>
      </c>
      <c r="B30" t="s">
        <v>37</v>
      </c>
      <c r="D30" t="str">
        <f t="shared" si="1"/>
        <v>&lt;</v>
      </c>
    </row>
    <row r="31" spans="1:4">
      <c r="A31" s="4">
        <f t="shared" si="3"/>
        <v>61</v>
      </c>
      <c r="B31" t="s">
        <v>38</v>
      </c>
      <c r="D31" t="str">
        <f t="shared" si="1"/>
        <v>=</v>
      </c>
    </row>
    <row r="32" spans="1:4">
      <c r="A32" s="4">
        <f t="shared" si="3"/>
        <v>62</v>
      </c>
      <c r="B32" t="s">
        <v>39</v>
      </c>
      <c r="D32" t="str">
        <f t="shared" si="1"/>
        <v>&gt;</v>
      </c>
    </row>
    <row r="33" spans="1:4">
      <c r="A33" s="4">
        <f t="shared" si="3"/>
        <v>63</v>
      </c>
      <c r="B33" t="s">
        <v>40</v>
      </c>
      <c r="D33" t="str">
        <f t="shared" si="1"/>
        <v>?</v>
      </c>
    </row>
    <row r="34" spans="1:4">
      <c r="A34" s="4">
        <f t="shared" si="3"/>
        <v>64</v>
      </c>
      <c r="B34" t="s">
        <v>41</v>
      </c>
      <c r="D34" t="str">
        <f t="shared" ref="D34:D65" si="4">IF(ISBLANK(C34),B34,C34)</f>
        <v>@</v>
      </c>
    </row>
    <row r="35" spans="1:4">
      <c r="A35" s="4">
        <f t="shared" si="3"/>
        <v>65</v>
      </c>
      <c r="B35" t="s">
        <v>42</v>
      </c>
      <c r="D35" t="str">
        <f t="shared" si="4"/>
        <v>A</v>
      </c>
    </row>
    <row r="36" spans="1:4">
      <c r="A36" s="4">
        <f t="shared" si="3"/>
        <v>66</v>
      </c>
      <c r="B36" t="s">
        <v>43</v>
      </c>
      <c r="D36" t="str">
        <f t="shared" si="4"/>
        <v>B</v>
      </c>
    </row>
    <row r="37" spans="1:4">
      <c r="A37" s="4">
        <f t="shared" si="3"/>
        <v>67</v>
      </c>
      <c r="B37" t="s">
        <v>44</v>
      </c>
      <c r="D37" t="str">
        <f t="shared" si="4"/>
        <v>C</v>
      </c>
    </row>
    <row r="38" spans="1:4">
      <c r="A38" s="4">
        <f t="shared" si="3"/>
        <v>68</v>
      </c>
      <c r="B38" t="s">
        <v>45</v>
      </c>
      <c r="D38" t="str">
        <f t="shared" si="4"/>
        <v>D</v>
      </c>
    </row>
    <row r="39" spans="1:4">
      <c r="A39" s="4">
        <f t="shared" si="3"/>
        <v>69</v>
      </c>
      <c r="B39" t="s">
        <v>46</v>
      </c>
      <c r="D39" t="str">
        <f t="shared" si="4"/>
        <v>E</v>
      </c>
    </row>
    <row r="40" spans="1:4">
      <c r="A40" s="4">
        <f t="shared" si="3"/>
        <v>70</v>
      </c>
      <c r="B40" t="s">
        <v>47</v>
      </c>
      <c r="D40" t="str">
        <f t="shared" si="4"/>
        <v>F</v>
      </c>
    </row>
    <row r="41" spans="1:4">
      <c r="A41" s="4">
        <f t="shared" si="3"/>
        <v>71</v>
      </c>
      <c r="B41" t="s">
        <v>48</v>
      </c>
      <c r="D41" t="str">
        <f t="shared" si="4"/>
        <v>G</v>
      </c>
    </row>
    <row r="42" spans="1:4">
      <c r="A42" s="4">
        <f t="shared" si="3"/>
        <v>72</v>
      </c>
      <c r="B42" t="s">
        <v>49</v>
      </c>
      <c r="D42" t="str">
        <f t="shared" si="4"/>
        <v>H</v>
      </c>
    </row>
    <row r="43" spans="1:4">
      <c r="A43" s="4">
        <f t="shared" si="3"/>
        <v>73</v>
      </c>
      <c r="B43" t="s">
        <v>50</v>
      </c>
      <c r="D43" t="str">
        <f t="shared" si="4"/>
        <v>I</v>
      </c>
    </row>
    <row r="44" spans="1:4">
      <c r="A44" s="4">
        <f t="shared" si="3"/>
        <v>74</v>
      </c>
      <c r="B44" t="s">
        <v>51</v>
      </c>
      <c r="D44" t="str">
        <f t="shared" si="4"/>
        <v>J</v>
      </c>
    </row>
    <row r="45" spans="1:4">
      <c r="A45" s="4">
        <f t="shared" si="3"/>
        <v>75</v>
      </c>
      <c r="B45" t="s">
        <v>52</v>
      </c>
      <c r="D45" t="str">
        <f t="shared" si="4"/>
        <v>K</v>
      </c>
    </row>
    <row r="46" spans="1:4">
      <c r="A46" s="4">
        <f t="shared" si="3"/>
        <v>76</v>
      </c>
      <c r="B46" t="s">
        <v>53</v>
      </c>
      <c r="D46" t="str">
        <f t="shared" si="4"/>
        <v>L</v>
      </c>
    </row>
    <row r="47" spans="1:4">
      <c r="A47" s="4">
        <f t="shared" si="3"/>
        <v>77</v>
      </c>
      <c r="B47" t="s">
        <v>54</v>
      </c>
      <c r="D47" t="str">
        <f t="shared" si="4"/>
        <v>M</v>
      </c>
    </row>
    <row r="48" spans="1:4">
      <c r="A48" s="4">
        <f t="shared" si="3"/>
        <v>78</v>
      </c>
      <c r="B48" t="s">
        <v>55</v>
      </c>
      <c r="D48" t="str">
        <f t="shared" si="4"/>
        <v>N</v>
      </c>
    </row>
    <row r="49" spans="1:4">
      <c r="A49" s="4">
        <f t="shared" si="3"/>
        <v>79</v>
      </c>
      <c r="B49" t="s">
        <v>56</v>
      </c>
      <c r="D49" t="str">
        <f t="shared" si="4"/>
        <v>O</v>
      </c>
    </row>
    <row r="50" spans="1:4">
      <c r="A50" s="4">
        <f t="shared" si="3"/>
        <v>80</v>
      </c>
      <c r="B50" t="s">
        <v>57</v>
      </c>
      <c r="D50" t="str">
        <f t="shared" si="4"/>
        <v>P</v>
      </c>
    </row>
    <row r="51" spans="1:4">
      <c r="A51" s="4">
        <f t="shared" si="3"/>
        <v>81</v>
      </c>
      <c r="B51" t="s">
        <v>58</v>
      </c>
      <c r="D51" t="str">
        <f t="shared" si="4"/>
        <v>Q</v>
      </c>
    </row>
    <row r="52" spans="1:4">
      <c r="A52" s="4">
        <f t="shared" si="3"/>
        <v>82</v>
      </c>
      <c r="B52" t="s">
        <v>59</v>
      </c>
      <c r="D52" t="str">
        <f t="shared" si="4"/>
        <v>R</v>
      </c>
    </row>
    <row r="53" spans="1:4">
      <c r="A53" s="4">
        <f t="shared" ref="A53:A74" si="5">IF(ISNUMBER(A52),A52+1,32)</f>
        <v>83</v>
      </c>
      <c r="B53" t="s">
        <v>60</v>
      </c>
      <c r="D53" t="str">
        <f t="shared" si="4"/>
        <v>S</v>
      </c>
    </row>
    <row r="54" spans="1:4">
      <c r="A54" s="4">
        <f t="shared" si="5"/>
        <v>84</v>
      </c>
      <c r="B54" t="s">
        <v>61</v>
      </c>
      <c r="D54" t="str">
        <f t="shared" si="4"/>
        <v>T</v>
      </c>
    </row>
    <row r="55" spans="1:4">
      <c r="A55" s="4">
        <f t="shared" si="5"/>
        <v>85</v>
      </c>
      <c r="B55" t="s">
        <v>62</v>
      </c>
      <c r="D55" t="str">
        <f t="shared" si="4"/>
        <v>U</v>
      </c>
    </row>
    <row r="56" spans="1:4">
      <c r="A56" s="4">
        <f t="shared" si="5"/>
        <v>86</v>
      </c>
      <c r="B56" t="s">
        <v>63</v>
      </c>
      <c r="D56" t="str">
        <f t="shared" si="4"/>
        <v>V</v>
      </c>
    </row>
    <row r="57" spans="1:4">
      <c r="A57" s="4">
        <f t="shared" si="5"/>
        <v>87</v>
      </c>
      <c r="B57" t="s">
        <v>64</v>
      </c>
      <c r="D57" t="str">
        <f t="shared" si="4"/>
        <v>W</v>
      </c>
    </row>
    <row r="58" spans="1:4">
      <c r="A58" s="4">
        <f t="shared" si="5"/>
        <v>88</v>
      </c>
      <c r="B58" t="s">
        <v>65</v>
      </c>
      <c r="D58" t="str">
        <f t="shared" si="4"/>
        <v>X</v>
      </c>
    </row>
    <row r="59" spans="1:4">
      <c r="A59" s="4">
        <f t="shared" si="5"/>
        <v>89</v>
      </c>
      <c r="B59" t="s">
        <v>66</v>
      </c>
      <c r="D59" t="str">
        <f t="shared" si="4"/>
        <v>Y</v>
      </c>
    </row>
    <row r="60" spans="1:4">
      <c r="A60" s="4">
        <f t="shared" si="5"/>
        <v>90</v>
      </c>
      <c r="B60" t="s">
        <v>67</v>
      </c>
      <c r="D60" t="str">
        <f t="shared" si="4"/>
        <v>Z</v>
      </c>
    </row>
    <row r="61" spans="1:4">
      <c r="A61" s="4">
        <f t="shared" si="5"/>
        <v>91</v>
      </c>
      <c r="B61" t="s">
        <v>68</v>
      </c>
      <c r="D61" t="str">
        <f t="shared" si="4"/>
        <v>[</v>
      </c>
    </row>
    <row r="62" spans="1:4">
      <c r="A62" s="4">
        <f t="shared" si="5"/>
        <v>92</v>
      </c>
      <c r="B62" t="s">
        <v>69</v>
      </c>
      <c r="D62" t="str">
        <f t="shared" si="4"/>
        <v>\</v>
      </c>
    </row>
    <row r="63" spans="1:4">
      <c r="A63" s="4">
        <f t="shared" si="5"/>
        <v>93</v>
      </c>
      <c r="B63" t="s">
        <v>70</v>
      </c>
      <c r="D63" t="str">
        <f t="shared" si="4"/>
        <v>]</v>
      </c>
    </row>
    <row r="64" spans="1:4">
      <c r="A64" s="4">
        <f t="shared" si="5"/>
        <v>94</v>
      </c>
      <c r="B64" t="s">
        <v>71</v>
      </c>
      <c r="D64" t="str">
        <f t="shared" si="4"/>
        <v>^</v>
      </c>
    </row>
    <row r="65" spans="1:4">
      <c r="A65" s="4">
        <f t="shared" si="5"/>
        <v>95</v>
      </c>
      <c r="B65" t="s">
        <v>72</v>
      </c>
      <c r="C65" t="s">
        <v>73</v>
      </c>
      <c r="D65" t="str">
        <f t="shared" si="4"/>
        <v>underscore</v>
      </c>
    </row>
    <row r="66" spans="1:4">
      <c r="A66" s="4">
        <f t="shared" si="5"/>
        <v>96</v>
      </c>
      <c r="B66" s="5" t="s">
        <v>22</v>
      </c>
      <c r="C66" t="s">
        <v>74</v>
      </c>
      <c r="D66" t="str">
        <f t="shared" ref="D66:D97" si="6">IF(ISBLANK(C66),B66,C66)</f>
        <v>grave accent</v>
      </c>
    </row>
    <row r="67" spans="1:4">
      <c r="A67" s="4">
        <f t="shared" si="5"/>
        <v>97</v>
      </c>
      <c r="B67" t="s">
        <v>75</v>
      </c>
      <c r="D67" t="str">
        <f t="shared" si="6"/>
        <v>a</v>
      </c>
    </row>
    <row r="68" spans="1:4">
      <c r="A68" s="4">
        <f t="shared" si="5"/>
        <v>98</v>
      </c>
      <c r="B68" t="s">
        <v>76</v>
      </c>
      <c r="D68" t="str">
        <f t="shared" si="6"/>
        <v>b</v>
      </c>
    </row>
    <row r="69" spans="1:4">
      <c r="A69" s="4">
        <f t="shared" si="5"/>
        <v>99</v>
      </c>
      <c r="B69" t="s">
        <v>77</v>
      </c>
      <c r="D69" t="str">
        <f t="shared" si="6"/>
        <v>c</v>
      </c>
    </row>
    <row r="70" spans="1:4">
      <c r="A70" s="4">
        <f t="shared" si="5"/>
        <v>100</v>
      </c>
      <c r="B70" t="s">
        <v>78</v>
      </c>
      <c r="D70" t="str">
        <f t="shared" si="6"/>
        <v>d</v>
      </c>
    </row>
    <row r="71" spans="1:4">
      <c r="A71" s="4">
        <f t="shared" si="5"/>
        <v>101</v>
      </c>
      <c r="B71" t="s">
        <v>79</v>
      </c>
      <c r="D71" t="str">
        <f t="shared" si="6"/>
        <v>e</v>
      </c>
    </row>
    <row r="72" spans="1:4">
      <c r="A72" s="4">
        <f t="shared" si="5"/>
        <v>102</v>
      </c>
      <c r="B72" t="s">
        <v>80</v>
      </c>
      <c r="D72" t="str">
        <f t="shared" si="6"/>
        <v>f</v>
      </c>
    </row>
    <row r="73" spans="1:4">
      <c r="A73" s="4">
        <f t="shared" si="5"/>
        <v>103</v>
      </c>
      <c r="B73" t="s">
        <v>81</v>
      </c>
      <c r="D73" t="str">
        <f t="shared" si="6"/>
        <v>g</v>
      </c>
    </row>
    <row r="74" spans="1:4">
      <c r="A74" s="4">
        <f t="shared" si="5"/>
        <v>104</v>
      </c>
      <c r="B74" t="s">
        <v>82</v>
      </c>
      <c r="D74" t="str">
        <f t="shared" si="6"/>
        <v>h</v>
      </c>
    </row>
    <row r="75" spans="1:4">
      <c r="A75" s="4">
        <f t="shared" ref="A75:A78" si="7">IF(ISNUMBER(A74),A74+1,32)</f>
        <v>105</v>
      </c>
      <c r="B75" t="s">
        <v>83</v>
      </c>
      <c r="D75" t="str">
        <f t="shared" si="6"/>
        <v>i</v>
      </c>
    </row>
    <row r="76" spans="1:4">
      <c r="A76" s="4">
        <f t="shared" si="7"/>
        <v>106</v>
      </c>
      <c r="B76" t="s">
        <v>84</v>
      </c>
      <c r="D76" t="str">
        <f t="shared" si="6"/>
        <v>j</v>
      </c>
    </row>
    <row r="77" spans="1:4">
      <c r="A77" s="4">
        <f t="shared" si="7"/>
        <v>107</v>
      </c>
      <c r="B77" t="s">
        <v>85</v>
      </c>
      <c r="D77" t="str">
        <f t="shared" si="6"/>
        <v>k</v>
      </c>
    </row>
    <row r="78" spans="1:4">
      <c r="A78" s="4">
        <f t="shared" si="7"/>
        <v>108</v>
      </c>
      <c r="B78" t="s">
        <v>86</v>
      </c>
      <c r="D78" t="str">
        <f t="shared" si="6"/>
        <v>l</v>
      </c>
    </row>
    <row r="79" spans="1:4">
      <c r="A79" s="4">
        <f t="shared" ref="A79:A82" si="8">IF(ISNUMBER(A78),A78+1,32)</f>
        <v>109</v>
      </c>
      <c r="B79" t="s">
        <v>87</v>
      </c>
      <c r="D79" t="str">
        <f t="shared" si="6"/>
        <v>m</v>
      </c>
    </row>
    <row r="80" spans="1:4">
      <c r="A80" s="4">
        <f t="shared" si="8"/>
        <v>110</v>
      </c>
      <c r="B80" t="s">
        <v>88</v>
      </c>
      <c r="D80" t="str">
        <f t="shared" si="6"/>
        <v>n</v>
      </c>
    </row>
    <row r="81" spans="1:4">
      <c r="A81" s="4">
        <f t="shared" si="8"/>
        <v>111</v>
      </c>
      <c r="B81" t="s">
        <v>89</v>
      </c>
      <c r="D81" t="str">
        <f t="shared" si="6"/>
        <v>o</v>
      </c>
    </row>
    <row r="82" spans="1:4">
      <c r="A82" s="4">
        <f t="shared" si="8"/>
        <v>112</v>
      </c>
      <c r="B82" t="s">
        <v>90</v>
      </c>
      <c r="D82" t="str">
        <f t="shared" si="6"/>
        <v>p</v>
      </c>
    </row>
    <row r="83" spans="1:4">
      <c r="A83" s="4">
        <f t="shared" ref="A83:A87" si="9">IF(ISNUMBER(A82),A82+1,32)</f>
        <v>113</v>
      </c>
      <c r="B83" t="s">
        <v>91</v>
      </c>
      <c r="D83" t="str">
        <f t="shared" si="6"/>
        <v>q</v>
      </c>
    </row>
    <row r="84" spans="1:4">
      <c r="A84" s="4">
        <f t="shared" si="9"/>
        <v>114</v>
      </c>
      <c r="B84" t="s">
        <v>92</v>
      </c>
      <c r="D84" t="str">
        <f t="shared" si="6"/>
        <v>r</v>
      </c>
    </row>
    <row r="85" spans="1:4">
      <c r="A85" s="4">
        <f t="shared" si="9"/>
        <v>115</v>
      </c>
      <c r="B85" t="s">
        <v>93</v>
      </c>
      <c r="D85" t="str">
        <f t="shared" si="6"/>
        <v>s</v>
      </c>
    </row>
    <row r="86" spans="1:4">
      <c r="A86" s="4">
        <f t="shared" si="9"/>
        <v>116</v>
      </c>
      <c r="B86" t="s">
        <v>94</v>
      </c>
      <c r="D86" t="str">
        <f t="shared" si="6"/>
        <v>t</v>
      </c>
    </row>
    <row r="87" spans="1:4">
      <c r="A87" s="4">
        <f t="shared" si="9"/>
        <v>117</v>
      </c>
      <c r="B87" t="s">
        <v>95</v>
      </c>
      <c r="D87" t="str">
        <f t="shared" si="6"/>
        <v>u</v>
      </c>
    </row>
    <row r="88" spans="1:4">
      <c r="A88" s="4">
        <f t="shared" ref="A88:A94" si="10">IF(ISNUMBER(A87),A87+1,32)</f>
        <v>118</v>
      </c>
      <c r="B88" t="s">
        <v>96</v>
      </c>
      <c r="D88" t="str">
        <f t="shared" si="6"/>
        <v>v</v>
      </c>
    </row>
    <row r="89" spans="1:4">
      <c r="A89" s="4">
        <f t="shared" si="10"/>
        <v>119</v>
      </c>
      <c r="B89" t="s">
        <v>97</v>
      </c>
      <c r="D89" t="str">
        <f t="shared" si="6"/>
        <v>w</v>
      </c>
    </row>
    <row r="90" spans="1:4">
      <c r="A90" s="4">
        <f t="shared" si="10"/>
        <v>120</v>
      </c>
      <c r="B90" t="s">
        <v>98</v>
      </c>
      <c r="D90" t="str">
        <f t="shared" si="6"/>
        <v>x</v>
      </c>
    </row>
    <row r="91" spans="1:4">
      <c r="A91" s="4">
        <f t="shared" si="10"/>
        <v>121</v>
      </c>
      <c r="B91" t="s">
        <v>99</v>
      </c>
      <c r="D91" t="str">
        <f t="shared" si="6"/>
        <v>y</v>
      </c>
    </row>
    <row r="92" spans="1:4">
      <c r="A92" s="4">
        <f t="shared" si="10"/>
        <v>122</v>
      </c>
      <c r="B92" t="s">
        <v>100</v>
      </c>
      <c r="D92" t="str">
        <f t="shared" si="6"/>
        <v>z</v>
      </c>
    </row>
    <row r="93" spans="1:4">
      <c r="A93" s="4">
        <f t="shared" si="10"/>
        <v>123</v>
      </c>
      <c r="B93" t="s">
        <v>101</v>
      </c>
      <c r="D93" t="str">
        <f t="shared" si="6"/>
        <v>{</v>
      </c>
    </row>
    <row r="94" spans="1:4">
      <c r="A94" s="4">
        <f t="shared" si="10"/>
        <v>124</v>
      </c>
      <c r="B94" t="s">
        <v>102</v>
      </c>
      <c r="D94" t="str">
        <f t="shared" si="6"/>
        <v>|</v>
      </c>
    </row>
    <row r="95" spans="1:4">
      <c r="A95" s="4">
        <f t="shared" ref="A95:A97" si="11">IF(ISNUMBER(A94),A94+1,32)</f>
        <v>125</v>
      </c>
      <c r="B95" t="s">
        <v>103</v>
      </c>
      <c r="D95" t="str">
        <f t="shared" si="6"/>
        <v>}</v>
      </c>
    </row>
    <row r="96" spans="1:4">
      <c r="A96" s="4">
        <f t="shared" si="11"/>
        <v>126</v>
      </c>
      <c r="B96" t="s">
        <v>104</v>
      </c>
      <c r="D96" t="str">
        <f t="shared" si="6"/>
        <v>~</v>
      </c>
    </row>
    <row r="97" spans="1:4">
      <c r="A97" s="4">
        <f t="shared" si="11"/>
        <v>127</v>
      </c>
      <c r="C97" t="s">
        <v>105</v>
      </c>
      <c r="D97" t="str">
        <f t="shared" si="6"/>
        <v>del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2025-07-23T16:31:27Z</dcterms:created>
  <dcterms:modified xsi:type="dcterms:W3CDTF">2025-07-29T15:38:46Z</dcterms:modified>
  <cp:category/>
  <cp:contentStatus/>
</cp:coreProperties>
</file>